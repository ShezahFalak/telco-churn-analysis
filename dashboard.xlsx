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za\Downloads\"/>
    </mc:Choice>
  </mc:AlternateContent>
  <xr:revisionPtr revIDLastSave="0" documentId="8_{0E694144-CF6C-44D6-8B39-360F197725DC}" xr6:coauthVersionLast="47" xr6:coauthVersionMax="47" xr10:uidLastSave="{00000000-0000-0000-0000-000000000000}"/>
  <bookViews>
    <workbookView xWindow="-110" yWindow="-110" windowWidth="19420" windowHeight="10300" xr2:uid="{E3E93BE4-0085-490A-8847-972E8ECD0933}"/>
  </bookViews>
  <sheets>
    <sheet name="Sheet1" sheetId="1" r:id="rId1"/>
    <sheet name="Revenue" sheetId="5" r:id="rId2"/>
    <sheet name="Churn_by_Contract" sheetId="3" r:id="rId3"/>
    <sheet name="KPI_Summary" sheetId="2" r:id="rId4"/>
    <sheet name="Churn_by_Tenur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D4" i="1"/>
  <c r="F4" i="1"/>
</calcChain>
</file>

<file path=xl/sharedStrings.xml><?xml version="1.0" encoding="utf-8"?>
<sst xmlns="http://schemas.openxmlformats.org/spreadsheetml/2006/main" count="24" uniqueCount="24">
  <si>
    <t>Total Customers</t>
  </si>
  <si>
    <t>Churn Rate (%)</t>
  </si>
  <si>
    <t>Total CLTV Lost</t>
  </si>
  <si>
    <t>One year</t>
  </si>
  <si>
    <t>Two year</t>
  </si>
  <si>
    <t>Contract</t>
  </si>
  <si>
    <t>Month-to month</t>
  </si>
  <si>
    <t xml:space="preserve">Churn Rate </t>
  </si>
  <si>
    <t>0-6</t>
  </si>
  <si>
    <t>13-24</t>
  </si>
  <si>
    <t>25-48</t>
  </si>
  <si>
    <t>49+</t>
  </si>
  <si>
    <t>7-12</t>
  </si>
  <si>
    <t>Tenure months</t>
  </si>
  <si>
    <t>Churn_rate_percentage</t>
  </si>
  <si>
    <t>Tenure Bucket</t>
  </si>
  <si>
    <t>0-6 months</t>
  </si>
  <si>
    <t>25-48 months</t>
  </si>
  <si>
    <t>49+ months</t>
  </si>
  <si>
    <t>7-12 months</t>
  </si>
  <si>
    <t>13-24 months</t>
  </si>
  <si>
    <t>No. of Customers</t>
  </si>
  <si>
    <t>Total CLTV lost</t>
  </si>
  <si>
    <t xml:space="preserve">Customer Churn- Executive Overview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</si>
</sst>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rgb="FF00206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3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accent6">
                    <a:lumMod val="50000"/>
                  </a:schemeClr>
                </a:solidFill>
              </a:rPr>
              <a:t>Churn Rate by Contract</a:t>
            </a:r>
            <a:r>
              <a:rPr lang="en-IN" sz="2000" b="1" baseline="0">
                <a:solidFill>
                  <a:schemeClr val="accent6">
                    <a:lumMod val="50000"/>
                  </a:schemeClr>
                </a:solidFill>
              </a:rPr>
              <a:t> Type</a:t>
            </a:r>
            <a:endParaRPr lang="en-IN" sz="20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469078046328877"/>
          <c:y val="0.17298493319144631"/>
          <c:w val="0.83619423599302456"/>
          <c:h val="0.64455334717447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Churn_by_Contract!$C$1</c:f>
              <c:strCache>
                <c:ptCount val="1"/>
                <c:pt idx="0">
                  <c:v>Churn Rate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0-4F69-BFBD-8060C93BCE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080-4F69-BFBD-8060C93BCE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0-4F69-BFBD-8060C93BCE4C}"/>
              </c:ext>
            </c:extLst>
          </c:dPt>
          <c:dLbls>
            <c:numFmt formatCode="0.0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Churn_by_Contract!$B$2:$B$4</c:f>
              <c:strCache>
                <c:ptCount val="3"/>
                <c:pt idx="0">
                  <c:v>Month-to 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Churn_by_Contract!$C$2:$C$4</c:f>
              <c:numCache>
                <c:formatCode>General</c:formatCode>
                <c:ptCount val="3"/>
                <c:pt idx="0">
                  <c:v>42.71</c:v>
                </c:pt>
                <c:pt idx="1">
                  <c:v>11.28</c:v>
                </c:pt>
                <c:pt idx="2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0-4F69-BFBD-8060C93BC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06624"/>
        <c:axId val="97705664"/>
      </c:barChart>
      <c:catAx>
        <c:axId val="9770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Contract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5664"/>
        <c:crosses val="autoZero"/>
        <c:auto val="1"/>
        <c:lblAlgn val="ctr"/>
        <c:lblOffset val="100"/>
        <c:noMultiLvlLbl val="0"/>
      </c:catAx>
      <c:valAx>
        <c:axId val="977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Churn Rate </a:t>
                </a:r>
              </a:p>
            </c:rich>
          </c:tx>
          <c:layout>
            <c:manualLayout>
              <c:xMode val="edge"/>
              <c:yMode val="edge"/>
              <c:x val="2.2787458859216746E-2"/>
              <c:y val="0.34088401348131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2">
                    <a:lumMod val="50000"/>
                  </a:schemeClr>
                </a:solidFill>
              </a:rPr>
              <a:t>Churn Rate by</a:t>
            </a:r>
            <a:r>
              <a:rPr lang="en-US" sz="2000" b="1" baseline="0">
                <a:solidFill>
                  <a:schemeClr val="accent2">
                    <a:lumMod val="50000"/>
                  </a:schemeClr>
                </a:solidFill>
              </a:rPr>
              <a:t> Tenure Buckets</a:t>
            </a:r>
            <a:endParaRPr lang="en-US" sz="2000" b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Churn_by_Tenure!$C$1</c:f>
              <c:strCache>
                <c:ptCount val="1"/>
                <c:pt idx="0">
                  <c:v>Churn_rate_percentage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0.0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Churn_by_Tenure!$B$2:$B$6</c:f>
              <c:strCache>
                <c:ptCount val="5"/>
                <c:pt idx="0">
                  <c:v>0-6</c:v>
                </c:pt>
                <c:pt idx="1">
                  <c:v>7-12</c:v>
                </c:pt>
                <c:pt idx="2">
                  <c:v>13-24</c:v>
                </c:pt>
                <c:pt idx="3">
                  <c:v>25-48</c:v>
                </c:pt>
                <c:pt idx="4">
                  <c:v>49+</c:v>
                </c:pt>
              </c:strCache>
            </c:strRef>
          </c:cat>
          <c:val>
            <c:numRef>
              <c:f>Churn_by_Tenure!$C$2:$C$6</c:f>
              <c:numCache>
                <c:formatCode>General</c:formatCode>
                <c:ptCount val="5"/>
                <c:pt idx="0">
                  <c:v>53.33</c:v>
                </c:pt>
                <c:pt idx="1">
                  <c:v>35.89</c:v>
                </c:pt>
                <c:pt idx="2">
                  <c:v>28.71</c:v>
                </c:pt>
                <c:pt idx="3">
                  <c:v>20.39</c:v>
                </c:pt>
                <c:pt idx="4">
                  <c:v>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A-4318-B139-07E63549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18303"/>
        <c:axId val="1132336543"/>
      </c:barChart>
      <c:catAx>
        <c:axId val="113231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Tenure</a:t>
                </a:r>
                <a:r>
                  <a:rPr lang="en-IN" sz="1200" b="1" baseline="0"/>
                  <a:t> Months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36543"/>
        <c:crosses val="autoZero"/>
        <c:auto val="1"/>
        <c:lblAlgn val="ctr"/>
        <c:lblOffset val="100"/>
        <c:noMultiLvlLbl val="0"/>
      </c:catAx>
      <c:valAx>
        <c:axId val="11323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Churn</a:t>
                </a:r>
                <a:r>
                  <a:rPr lang="en-IN" baseline="0"/>
                  <a:t> </a:t>
                </a:r>
                <a:r>
                  <a:rPr lang="en-IN" sz="1200" b="1" baseline="0"/>
                  <a:t>Rate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1.9444444444444445E-2"/>
              <c:y val="0.36412438028579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accent5">
                    <a:lumMod val="50000"/>
                  </a:schemeClr>
                </a:solidFill>
              </a:rPr>
              <a:t>Revenue at</a:t>
            </a:r>
            <a:r>
              <a:rPr lang="en-IN" sz="2000" b="1" baseline="0">
                <a:solidFill>
                  <a:schemeClr val="accent5">
                    <a:lumMod val="50000"/>
                  </a:schemeClr>
                </a:solidFill>
              </a:rPr>
              <a:t> Risk</a:t>
            </a:r>
            <a:r>
              <a:rPr lang="en-IN" sz="2000" b="1">
                <a:solidFill>
                  <a:schemeClr val="accent5">
                    <a:lumMod val="50000"/>
                  </a:schemeClr>
                </a:solidFill>
              </a:rPr>
              <a:t>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Revenue!$C$1</c:f>
              <c:strCache>
                <c:ptCount val="1"/>
                <c:pt idx="0">
                  <c:v>No.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Revenue!$B$2:$B$6</c:f>
              <c:strCache>
                <c:ptCount val="5"/>
                <c:pt idx="0">
                  <c:v>0-6 months</c:v>
                </c:pt>
                <c:pt idx="1">
                  <c:v>25-48 months</c:v>
                </c:pt>
                <c:pt idx="2">
                  <c:v>13-24 months</c:v>
                </c:pt>
                <c:pt idx="3">
                  <c:v>49+ months</c:v>
                </c:pt>
                <c:pt idx="4">
                  <c:v>7-12 months</c:v>
                </c:pt>
              </c:strCache>
            </c:strRef>
          </c:cat>
          <c:val>
            <c:numRef>
              <c:f>Revenue!$C$2:$C$6</c:f>
              <c:numCache>
                <c:formatCode>General</c:formatCode>
                <c:ptCount val="5"/>
                <c:pt idx="0">
                  <c:v>784</c:v>
                </c:pt>
                <c:pt idx="1">
                  <c:v>325</c:v>
                </c:pt>
                <c:pt idx="2">
                  <c:v>294</c:v>
                </c:pt>
                <c:pt idx="3">
                  <c:v>213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B-49CC-8315-BCDF738F30BF}"/>
            </c:ext>
          </c:extLst>
        </c:ser>
        <c:ser>
          <c:idx val="1"/>
          <c:order val="1"/>
          <c:tx>
            <c:strRef>
              <c:f>Revenue!$D$1</c:f>
              <c:strCache>
                <c:ptCount val="1"/>
                <c:pt idx="0">
                  <c:v>Total CLTV lost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Revenue!$B$2:$B$6</c:f>
              <c:strCache>
                <c:ptCount val="5"/>
                <c:pt idx="0">
                  <c:v>0-6 months</c:v>
                </c:pt>
                <c:pt idx="1">
                  <c:v>25-48 months</c:v>
                </c:pt>
                <c:pt idx="2">
                  <c:v>13-24 months</c:v>
                </c:pt>
                <c:pt idx="3">
                  <c:v>49+ months</c:v>
                </c:pt>
                <c:pt idx="4">
                  <c:v>7-12 months</c:v>
                </c:pt>
              </c:strCache>
            </c:strRef>
          </c:cat>
          <c:val>
            <c:numRef>
              <c:f>Revenue!$D$2:$D$6</c:f>
              <c:numCache>
                <c:formatCode>General</c:formatCode>
                <c:ptCount val="5"/>
                <c:pt idx="0">
                  <c:v>3177419</c:v>
                </c:pt>
                <c:pt idx="1">
                  <c:v>1270763</c:v>
                </c:pt>
                <c:pt idx="2">
                  <c:v>1184898</c:v>
                </c:pt>
                <c:pt idx="3">
                  <c:v>1110389</c:v>
                </c:pt>
                <c:pt idx="4">
                  <c:v>1011787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B-49CC-8315-BCDF738F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370623"/>
        <c:axId val="1132373023"/>
      </c:barChart>
      <c:catAx>
        <c:axId val="113237062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  <a:alpha val="96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ysClr val="windowText" lastClr="000000">
                        <a:lumMod val="65000"/>
                        <a:lumOff val="35000"/>
                        <a:alpha val="96000"/>
                      </a:sysClr>
                    </a:solidFill>
                  </a:rPr>
                  <a:t>Tenure</a:t>
                </a:r>
              </a:p>
            </c:rich>
          </c:tx>
          <c:layout>
            <c:manualLayout>
              <c:xMode val="edge"/>
              <c:yMode val="edge"/>
              <c:x val="7.2537783778886152E-3"/>
              <c:y val="0.48007799971903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  <a:alpha val="96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73023"/>
        <c:crossesAt val="0"/>
        <c:auto val="1"/>
        <c:lblAlgn val="ctr"/>
        <c:lblOffset val="100"/>
        <c:noMultiLvlLbl val="0"/>
      </c:catAx>
      <c:valAx>
        <c:axId val="11323730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/>
                  <a:t>CLTV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70623"/>
        <c:crosses val="autoZero"/>
        <c:crossBetween val="between"/>
        <c:dispUnits>
          <c:builtInUnit val="million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N" b="1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accent5">
                    <a:lumMod val="50000"/>
                  </a:schemeClr>
                </a:solidFill>
              </a:rPr>
              <a:t>Revenue Loss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Revenue!$C$1</c:f>
              <c:strCache>
                <c:ptCount val="1"/>
                <c:pt idx="0">
                  <c:v>No.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Revenue!$B$2:$B$6</c:f>
              <c:strCache>
                <c:ptCount val="5"/>
                <c:pt idx="0">
                  <c:v>0-6 months</c:v>
                </c:pt>
                <c:pt idx="1">
                  <c:v>25-48 months</c:v>
                </c:pt>
                <c:pt idx="2">
                  <c:v>13-24 months</c:v>
                </c:pt>
                <c:pt idx="3">
                  <c:v>49+ months</c:v>
                </c:pt>
                <c:pt idx="4">
                  <c:v>7-12 months</c:v>
                </c:pt>
              </c:strCache>
            </c:strRef>
          </c:cat>
          <c:val>
            <c:numRef>
              <c:f>Revenue!$C$2:$C$6</c:f>
              <c:numCache>
                <c:formatCode>General</c:formatCode>
                <c:ptCount val="5"/>
                <c:pt idx="0">
                  <c:v>784</c:v>
                </c:pt>
                <c:pt idx="1">
                  <c:v>325</c:v>
                </c:pt>
                <c:pt idx="2">
                  <c:v>294</c:v>
                </c:pt>
                <c:pt idx="3">
                  <c:v>213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0-419D-83AA-99B0BEC05603}"/>
            </c:ext>
          </c:extLst>
        </c:ser>
        <c:ser>
          <c:idx val="1"/>
          <c:order val="1"/>
          <c:tx>
            <c:strRef>
              <c:f>Revenue!$D$1</c:f>
              <c:strCache>
                <c:ptCount val="1"/>
                <c:pt idx="0">
                  <c:v>Total CLTV lost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Revenue!$B$2:$B$6</c:f>
              <c:strCache>
                <c:ptCount val="5"/>
                <c:pt idx="0">
                  <c:v>0-6 months</c:v>
                </c:pt>
                <c:pt idx="1">
                  <c:v>25-48 months</c:v>
                </c:pt>
                <c:pt idx="2">
                  <c:v>13-24 months</c:v>
                </c:pt>
                <c:pt idx="3">
                  <c:v>49+ months</c:v>
                </c:pt>
                <c:pt idx="4">
                  <c:v>7-12 months</c:v>
                </c:pt>
              </c:strCache>
            </c:strRef>
          </c:cat>
          <c:val>
            <c:numRef>
              <c:f>Revenue!$D$2:$D$6</c:f>
              <c:numCache>
                <c:formatCode>General</c:formatCode>
                <c:ptCount val="5"/>
                <c:pt idx="0">
                  <c:v>3177419</c:v>
                </c:pt>
                <c:pt idx="1">
                  <c:v>1270763</c:v>
                </c:pt>
                <c:pt idx="2">
                  <c:v>1184898</c:v>
                </c:pt>
                <c:pt idx="3">
                  <c:v>1110389</c:v>
                </c:pt>
                <c:pt idx="4">
                  <c:v>1011787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0-419D-83AA-99B0BEC05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370623"/>
        <c:axId val="1132373023"/>
      </c:barChart>
      <c:catAx>
        <c:axId val="113237062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Tenure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52084062408865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73023"/>
        <c:crossesAt val="0"/>
        <c:auto val="1"/>
        <c:lblAlgn val="ctr"/>
        <c:lblOffset val="100"/>
        <c:noMultiLvlLbl val="0"/>
      </c:catAx>
      <c:valAx>
        <c:axId val="11323730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0"/>
                  <a:t>CLTV Lost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70623"/>
        <c:crosses val="autoZero"/>
        <c:crossBetween val="between"/>
        <c:dispUnits>
          <c:builtInUnit val="million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N" b="1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Rate by Contract</a:t>
            </a:r>
            <a:r>
              <a:rPr lang="en-IN" b="1" baseline="0"/>
              <a:t>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Churn_by_Contract!$C$1</c:f>
              <c:strCache>
                <c:ptCount val="1"/>
                <c:pt idx="0">
                  <c:v>Churn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Churn_by_Contract!$B$2:$B$4</c:f>
              <c:strCache>
                <c:ptCount val="3"/>
                <c:pt idx="0">
                  <c:v>Month-to 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Churn_by_Contract!$C$2:$C$4</c:f>
              <c:numCache>
                <c:formatCode>General</c:formatCode>
                <c:ptCount val="3"/>
                <c:pt idx="0">
                  <c:v>42.71</c:v>
                </c:pt>
                <c:pt idx="1">
                  <c:v>11.28</c:v>
                </c:pt>
                <c:pt idx="2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2-451E-B66B-C88E7B06E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06624"/>
        <c:axId val="97705664"/>
      </c:barChart>
      <c:catAx>
        <c:axId val="9770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Contract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5664"/>
        <c:crosses val="autoZero"/>
        <c:auto val="1"/>
        <c:lblAlgn val="ctr"/>
        <c:lblOffset val="100"/>
        <c:noMultiLvlLbl val="0"/>
      </c:catAx>
      <c:valAx>
        <c:axId val="977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</a:rPr>
              <a:t>Churn Rate by</a:t>
            </a:r>
            <a:r>
              <a:rPr lang="en-US" b="1" baseline="0">
                <a:solidFill>
                  <a:schemeClr val="accent2">
                    <a:lumMod val="50000"/>
                  </a:schemeClr>
                </a:solidFill>
              </a:rPr>
              <a:t> Tenure Buckets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Churn_by_Tenure!$C$1</c:f>
              <c:strCache>
                <c:ptCount val="1"/>
                <c:pt idx="0">
                  <c:v>Churn_rate_percentage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0.0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Churn_by_Tenure!$B$2:$B$6</c:f>
              <c:strCache>
                <c:ptCount val="5"/>
                <c:pt idx="0">
                  <c:v>0-6</c:v>
                </c:pt>
                <c:pt idx="1">
                  <c:v>7-12</c:v>
                </c:pt>
                <c:pt idx="2">
                  <c:v>13-24</c:v>
                </c:pt>
                <c:pt idx="3">
                  <c:v>25-48</c:v>
                </c:pt>
                <c:pt idx="4">
                  <c:v>49+</c:v>
                </c:pt>
              </c:strCache>
            </c:strRef>
          </c:cat>
          <c:val>
            <c:numRef>
              <c:f>Churn_by_Tenure!$C$2:$C$6</c:f>
              <c:numCache>
                <c:formatCode>General</c:formatCode>
                <c:ptCount val="5"/>
                <c:pt idx="0">
                  <c:v>53.33</c:v>
                </c:pt>
                <c:pt idx="1">
                  <c:v>35.89</c:v>
                </c:pt>
                <c:pt idx="2">
                  <c:v>28.71</c:v>
                </c:pt>
                <c:pt idx="3">
                  <c:v>20.39</c:v>
                </c:pt>
                <c:pt idx="4">
                  <c:v>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0-45C9-9B7F-D21B8DE0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18303"/>
        <c:axId val="1132336543"/>
      </c:barChart>
      <c:catAx>
        <c:axId val="113231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Tenure</a:t>
                </a:r>
                <a:r>
                  <a:rPr lang="en-IN" baseline="0"/>
                  <a:t> Months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36543"/>
        <c:crosses val="autoZero"/>
        <c:auto val="1"/>
        <c:lblAlgn val="ctr"/>
        <c:lblOffset val="100"/>
        <c:noMultiLvlLbl val="0"/>
      </c:catAx>
      <c:valAx>
        <c:axId val="11323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45E-2"/>
              <c:y val="0.36412438028579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438171</xdr:colOff>
      <xdr:row>5</xdr:row>
      <xdr:rowOff>168924</xdr:rowOff>
    </xdr:from>
    <xdr:to>
      <xdr:col>6</xdr:col>
      <xdr:colOff>476616</xdr:colOff>
      <xdr:row>27</xdr:row>
      <xdr:rowOff>47563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3613A-5FAF-4D18-A789-5A30E7337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727075</xdr:colOff>
      <xdr:row>5</xdr:row>
      <xdr:rowOff>150662</xdr:rowOff>
    </xdr:from>
    <xdr:to>
      <xdr:col>17</xdr:col>
      <xdr:colOff>62400</xdr:colOff>
      <xdr:row>27</xdr:row>
      <xdr:rowOff>72206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3D846F-E321-47E7-9F14-BC90F4660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1155435</xdr:colOff>
      <xdr:row>29</xdr:row>
      <xdr:rowOff>84229</xdr:rowOff>
    </xdr:from>
    <xdr:to>
      <xdr:col>10</xdr:col>
      <xdr:colOff>475727</xdr:colOff>
      <xdr:row>51</xdr:row>
      <xdr:rowOff>174630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8540B0-0A14-47C2-A05A-1CAB7D8BD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82550</xdr:rowOff>
    </xdr:from>
    <xdr:to>
      <xdr:col>9</xdr:col>
      <xdr:colOff>568325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A24BD-C3AE-B652-3B0C-37EC3B52E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165100</xdr:rowOff>
    </xdr:from>
    <xdr:to>
      <xdr:col>12</xdr:col>
      <xdr:colOff>257175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34BDD-2A8C-706C-BE44-758909DDF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3C333-4450-51FE-4501-32AAF0813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45F5-4888-497B-9F0B-E5DDD286DE49}">
  <dimension ref="B1:J4"/>
  <sheetViews>
    <sheetView showGridLines="0" tabSelected="1" zoomScale="34" zoomScaleNormal="100" workbookViewId="0">
      <selection activeCell="AA52" sqref="AA52"/>
    </sheetView>
  </sheetViews>
  <sheetFormatPr defaultRowHeight="14.5" x14ac:dyDescent="0.35"/>
  <cols>
    <col min="2" max="2" width="15.6328125" customWidth="1"/>
    <col min="3" max="3" width="20.81640625" bestFit="1" customWidth="1"/>
    <col min="4" max="4" width="16.90625" bestFit="1" customWidth="1"/>
    <col min="5" max="5" width="27.1796875" customWidth="1"/>
    <col min="6" max="6" width="15.6328125" customWidth="1"/>
    <col min="7" max="7" width="17.36328125" bestFit="1" customWidth="1"/>
    <col min="9" max="9" width="13.1796875" bestFit="1" customWidth="1"/>
    <col min="10" max="10" width="12.1796875" bestFit="1" customWidth="1"/>
  </cols>
  <sheetData>
    <row r="1" spans="2:10" ht="47.5" x14ac:dyDescent="1.1000000000000001">
      <c r="D1" s="11"/>
      <c r="E1" s="11" t="s">
        <v>23</v>
      </c>
      <c r="F1" s="10"/>
    </row>
    <row r="2" spans="2:10" ht="31" x14ac:dyDescent="0.7">
      <c r="F2" s="3"/>
    </row>
    <row r="3" spans="2:10" ht="21" x14ac:dyDescent="0.35">
      <c r="B3" s="4"/>
      <c r="C3" s="6"/>
      <c r="D3" s="6" t="s">
        <v>0</v>
      </c>
      <c r="E3" s="6"/>
      <c r="F3" s="6" t="s">
        <v>1</v>
      </c>
      <c r="G3" s="4"/>
      <c r="H3" s="4"/>
      <c r="I3" s="4"/>
      <c r="J3" s="4" t="s">
        <v>2</v>
      </c>
    </row>
    <row r="4" spans="2:10" x14ac:dyDescent="0.35">
      <c r="B4" s="5"/>
      <c r="C4" s="5"/>
      <c r="D4" s="5">
        <f>KPI_Summary!B2</f>
        <v>7032</v>
      </c>
      <c r="E4" s="5"/>
      <c r="F4" s="5">
        <f>KPI_Summary!$C2</f>
        <v>26.58</v>
      </c>
      <c r="G4" s="7"/>
      <c r="H4" s="7"/>
      <c r="I4" s="12"/>
      <c r="J4" s="12">
        <f>KPI_Summary!D2</f>
        <v>7755256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E8A4-BBBB-481B-A410-C290A57DC54E}">
  <dimension ref="B1:D6"/>
  <sheetViews>
    <sheetView topLeftCell="A5" workbookViewId="0">
      <selection activeCell="L13" sqref="L13"/>
    </sheetView>
  </sheetViews>
  <sheetFormatPr defaultRowHeight="14.5" x14ac:dyDescent="0.35"/>
  <cols>
    <col min="2" max="2" width="12.7265625" style="9" bestFit="1" customWidth="1"/>
    <col min="3" max="3" width="15.36328125" bestFit="1" customWidth="1"/>
  </cols>
  <sheetData>
    <row r="1" spans="2:4" x14ac:dyDescent="0.35">
      <c r="B1" s="9" t="s">
        <v>15</v>
      </c>
      <c r="C1" t="s">
        <v>21</v>
      </c>
      <c r="D1" t="s">
        <v>22</v>
      </c>
    </row>
    <row r="2" spans="2:4" x14ac:dyDescent="0.35">
      <c r="B2" s="8" t="s">
        <v>16</v>
      </c>
      <c r="C2" s="1">
        <v>784</v>
      </c>
      <c r="D2" s="1">
        <v>3177419</v>
      </c>
    </row>
    <row r="3" spans="2:4" x14ac:dyDescent="0.35">
      <c r="B3" s="8" t="s">
        <v>17</v>
      </c>
      <c r="C3" s="1">
        <v>325</v>
      </c>
      <c r="D3" s="1">
        <v>1270763</v>
      </c>
    </row>
    <row r="4" spans="2:4" x14ac:dyDescent="0.35">
      <c r="B4" s="8" t="s">
        <v>20</v>
      </c>
      <c r="C4" s="1">
        <v>294</v>
      </c>
      <c r="D4" s="1">
        <v>1184898</v>
      </c>
    </row>
    <row r="5" spans="2:4" x14ac:dyDescent="0.35">
      <c r="B5" s="8" t="s">
        <v>18</v>
      </c>
      <c r="C5" s="1">
        <v>213</v>
      </c>
      <c r="D5" s="1">
        <v>1110389</v>
      </c>
    </row>
    <row r="6" spans="2:4" x14ac:dyDescent="0.35">
      <c r="B6" s="8" t="s">
        <v>19</v>
      </c>
      <c r="C6" s="1">
        <v>253</v>
      </c>
      <c r="D6" s="1">
        <v>1011787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3C79-6FF1-41CD-B26B-F3093B500294}">
  <dimension ref="B1:C4"/>
  <sheetViews>
    <sheetView workbookViewId="0">
      <selection activeCell="E6" sqref="E6"/>
    </sheetView>
  </sheetViews>
  <sheetFormatPr defaultRowHeight="14.5" x14ac:dyDescent="0.35"/>
  <cols>
    <col min="2" max="2" width="13" customWidth="1"/>
    <col min="3" max="3" width="13.36328125" bestFit="1" customWidth="1"/>
  </cols>
  <sheetData>
    <row r="1" spans="2:3" x14ac:dyDescent="0.35">
      <c r="B1" t="s">
        <v>5</v>
      </c>
      <c r="C1" t="s">
        <v>7</v>
      </c>
    </row>
    <row r="2" spans="2:3" ht="29" x14ac:dyDescent="0.35">
      <c r="B2" s="1" t="s">
        <v>6</v>
      </c>
      <c r="C2" s="1">
        <v>42.71</v>
      </c>
    </row>
    <row r="3" spans="2:3" x14ac:dyDescent="0.35">
      <c r="B3" s="1" t="s">
        <v>3</v>
      </c>
      <c r="C3" s="1">
        <v>11.28</v>
      </c>
    </row>
    <row r="4" spans="2:3" x14ac:dyDescent="0.35">
      <c r="B4" s="1" t="s">
        <v>4</v>
      </c>
      <c r="C4" s="1">
        <v>2.85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6648-7B22-4685-83F0-944CFA36B973}">
  <dimension ref="B2:D2"/>
  <sheetViews>
    <sheetView workbookViewId="0">
      <selection activeCell="D2" sqref="D2"/>
    </sheetView>
  </sheetViews>
  <sheetFormatPr defaultRowHeight="14.5" x14ac:dyDescent="0.35"/>
  <cols>
    <col min="4" max="4" width="12.1796875" bestFit="1" customWidth="1"/>
  </cols>
  <sheetData>
    <row r="2" spans="2:4" x14ac:dyDescent="0.35">
      <c r="B2" s="1">
        <v>7032</v>
      </c>
      <c r="C2" s="1">
        <v>26.58</v>
      </c>
      <c r="D2" s="2">
        <v>7755256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B8CA-CEB5-4F33-A6F3-3E807F195502}">
  <dimension ref="B1:C6"/>
  <sheetViews>
    <sheetView workbookViewId="0">
      <selection activeCell="F7" sqref="F7"/>
    </sheetView>
  </sheetViews>
  <sheetFormatPr defaultRowHeight="14.5" x14ac:dyDescent="0.35"/>
  <cols>
    <col min="2" max="2" width="8.7265625" style="9"/>
  </cols>
  <sheetData>
    <row r="1" spans="2:3" x14ac:dyDescent="0.35">
      <c r="B1" s="9" t="s">
        <v>13</v>
      </c>
      <c r="C1" t="s">
        <v>14</v>
      </c>
    </row>
    <row r="2" spans="2:3" x14ac:dyDescent="0.35">
      <c r="B2" s="8" t="s">
        <v>8</v>
      </c>
      <c r="C2" s="1">
        <v>53.33</v>
      </c>
    </row>
    <row r="3" spans="2:3" x14ac:dyDescent="0.35">
      <c r="B3" s="8" t="s">
        <v>12</v>
      </c>
      <c r="C3" s="1">
        <v>35.89</v>
      </c>
    </row>
    <row r="4" spans="2:3" x14ac:dyDescent="0.35">
      <c r="B4" s="8" t="s">
        <v>9</v>
      </c>
      <c r="C4" s="1">
        <v>28.71</v>
      </c>
    </row>
    <row r="5" spans="2:3" x14ac:dyDescent="0.35">
      <c r="B5" s="8" t="s">
        <v>10</v>
      </c>
      <c r="C5" s="1">
        <v>20.39</v>
      </c>
    </row>
    <row r="6" spans="2:3" x14ac:dyDescent="0.35">
      <c r="B6" s="8" t="s">
        <v>11</v>
      </c>
      <c r="C6" s="1">
        <v>9.51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Revenue</vt:lpstr>
      <vt:lpstr>Churn_by_Contract</vt:lpstr>
      <vt:lpstr>KPI_Summary</vt:lpstr>
      <vt:lpstr>Churn_by_Tenure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shezahfalak0307@gmail.com</dc:creator>
  <cp:lastModifiedBy>shezahfalak0307@gmail.com</cp:lastModifiedBy>
  <dcterms:created xsi:type="dcterms:W3CDTF">2026-01-13T06:15:25Z</dcterms:created>
  <dcterms:modified xsi:type="dcterms:W3CDTF">2026-01-13T18:25:53Z</dcterms:modified>
</cp:coreProperties>
</file>